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N13" i="2" l="1"/>
  <c r="M13" i="2"/>
  <c r="L13" i="2"/>
  <c r="C11" i="3"/>
  <c r="C18" i="3" s="1"/>
  <c r="B8" i="3"/>
  <c r="B14" i="3" s="1"/>
  <c r="B7" i="3"/>
  <c r="B13" i="3" s="1"/>
  <c r="E6" i="3"/>
  <c r="B6" i="3"/>
  <c r="B12" i="3" s="1"/>
  <c r="E5" i="3"/>
  <c r="E11" i="3" s="1"/>
  <c r="E18" i="3" s="1"/>
  <c r="D5" i="3"/>
  <c r="D11" i="3" s="1"/>
  <c r="D18" i="3" s="1"/>
  <c r="C5" i="3"/>
  <c r="L4" i="3"/>
  <c r="E7" i="3" s="1"/>
  <c r="I4" i="3"/>
  <c r="G4" i="3"/>
  <c r="L3" i="3"/>
  <c r="I3" i="3"/>
  <c r="G3" i="3"/>
  <c r="L2" i="3"/>
  <c r="D6" i="3" s="1"/>
  <c r="I2" i="3"/>
  <c r="G2" i="3"/>
  <c r="C7" i="3" l="1"/>
  <c r="D8" i="3"/>
  <c r="B19" i="3"/>
  <c r="F12" i="3"/>
  <c r="F13" i="3"/>
  <c r="B20" i="3"/>
  <c r="B21" i="3"/>
  <c r="F14" i="3"/>
  <c r="C8" i="3"/>
  <c r="E9" i="3"/>
  <c r="E14" i="3" s="1"/>
  <c r="L4" i="2"/>
  <c r="E7" i="2" s="1"/>
  <c r="D8" i="2" s="1"/>
  <c r="L3" i="2"/>
  <c r="E6" i="2" s="1"/>
  <c r="C8" i="2" s="1"/>
  <c r="L2" i="2"/>
  <c r="D6" i="2" s="1"/>
  <c r="C7" i="2" s="1"/>
  <c r="C9" i="3" l="1"/>
  <c r="C12" i="3" s="1"/>
  <c r="C13" i="3"/>
  <c r="E13" i="3"/>
  <c r="C14" i="3"/>
  <c r="D9" i="3"/>
  <c r="E12" i="3"/>
  <c r="E9" i="2"/>
  <c r="C9" i="2"/>
  <c r="C13" i="2" s="1"/>
  <c r="D9" i="2"/>
  <c r="I4" i="2"/>
  <c r="G4" i="2"/>
  <c r="I3" i="2"/>
  <c r="G3" i="2"/>
  <c r="D13" i="3" l="1"/>
  <c r="D12" i="3"/>
  <c r="G13" i="3"/>
  <c r="D14" i="3"/>
  <c r="G14" i="3"/>
  <c r="G12" i="3"/>
  <c r="E14" i="2"/>
  <c r="E13" i="2"/>
  <c r="E12" i="2"/>
  <c r="D14" i="2"/>
  <c r="D13" i="2"/>
  <c r="C14" i="2"/>
  <c r="C12" i="2"/>
  <c r="D12" i="2"/>
  <c r="I2" i="2"/>
  <c r="G2" i="2"/>
  <c r="D20" i="3" l="1"/>
  <c r="D19" i="3"/>
  <c r="D21" i="3"/>
  <c r="G16" i="3"/>
  <c r="C19" i="3"/>
  <c r="C20" i="3"/>
  <c r="C21" i="3"/>
  <c r="F21" i="3" s="1"/>
  <c r="G21" i="3" s="1"/>
  <c r="E21" i="3"/>
  <c r="E20" i="3"/>
  <c r="E19" i="3"/>
  <c r="G13" i="2"/>
  <c r="D20" i="2" s="1"/>
  <c r="G14" i="2"/>
  <c r="E19" i="2" s="1"/>
  <c r="G12" i="2"/>
  <c r="B8" i="2"/>
  <c r="B14" i="2" s="1"/>
  <c r="B7" i="2"/>
  <c r="B13" i="2" s="1"/>
  <c r="E5" i="2"/>
  <c r="E11" i="2" s="1"/>
  <c r="E18" i="2" s="1"/>
  <c r="D5" i="2"/>
  <c r="D11" i="2" s="1"/>
  <c r="D18" i="2" s="1"/>
  <c r="B6" i="2"/>
  <c r="B12" i="2" s="1"/>
  <c r="C5" i="2"/>
  <c r="C11" i="2" s="1"/>
  <c r="C18" i="2" s="1"/>
  <c r="F19" i="3" l="1"/>
  <c r="G19" i="3" s="1"/>
  <c r="G23" i="3" s="1"/>
  <c r="G24" i="3" s="1"/>
  <c r="G26" i="3" s="1"/>
  <c r="F20" i="3"/>
  <c r="G20" i="3" s="1"/>
  <c r="D19" i="2"/>
  <c r="D21" i="2"/>
  <c r="E20" i="2"/>
  <c r="E21" i="2"/>
  <c r="G16" i="2"/>
  <c r="C19" i="2"/>
  <c r="C21" i="2"/>
  <c r="C20" i="2"/>
  <c r="F14" i="2"/>
  <c r="B21" i="2"/>
  <c r="F13" i="2"/>
  <c r="B20" i="2"/>
  <c r="F12" i="2"/>
  <c r="B19" i="2"/>
  <c r="F19" i="2" l="1"/>
  <c r="G19" i="2" s="1"/>
  <c r="F20" i="2"/>
  <c r="G20" i="2" s="1"/>
  <c r="F21" i="2"/>
  <c r="G21" i="2" s="1"/>
  <c r="G23" i="2" l="1"/>
  <c r="G24" i="2" s="1"/>
  <c r="G26" i="2" s="1"/>
</calcChain>
</file>

<file path=xl/sharedStrings.xml><?xml version="1.0" encoding="utf-8"?>
<sst xmlns="http://schemas.openxmlformats.org/spreadsheetml/2006/main" count="59" uniqueCount="25">
  <si>
    <t>or</t>
  </si>
  <si>
    <t>equal importance</t>
  </si>
  <si>
    <t>equal to moderate importance</t>
  </si>
  <si>
    <t>moderate importance</t>
  </si>
  <si>
    <t>moderate to strong importance</t>
  </si>
  <si>
    <t>strong importance</t>
  </si>
  <si>
    <t>strong to very strong importance</t>
  </si>
  <si>
    <t>very strong importance</t>
  </si>
  <si>
    <t>very to extremely strong importance</t>
  </si>
  <si>
    <t>extreme importance</t>
  </si>
  <si>
    <t>sum</t>
  </si>
  <si>
    <t>weights</t>
  </si>
  <si>
    <t>LamdaMax</t>
  </si>
  <si>
    <t>CI</t>
  </si>
  <si>
    <t>RI</t>
  </si>
  <si>
    <t>CR</t>
  </si>
  <si>
    <t>Variable-1</t>
  </si>
  <si>
    <t>Variable-2</t>
  </si>
  <si>
    <t>Camera</t>
  </si>
  <si>
    <t>Cost</t>
  </si>
  <si>
    <t>RAM</t>
  </si>
  <si>
    <t>Alternative-1</t>
  </si>
  <si>
    <t>Alternative-2</t>
  </si>
  <si>
    <t>Alternative-3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</si>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</sst>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 Click Here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Click Here to know the weights of criteria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10</xdr:row>
          <xdr:rowOff>0</xdr:rowOff>
        </xdr:from>
        <xdr:to>
          <xdr:col>4</xdr:col>
          <xdr:colOff>590550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Click Here to know the Consistency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28575</xdr:rowOff>
        </xdr:from>
        <xdr:to>
          <xdr:col>5</xdr:col>
          <xdr:colOff>0</xdr:colOff>
          <xdr:row>15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Close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466725</xdr:colOff>
      <xdr:row>4</xdr:row>
      <xdr:rowOff>133350</xdr:rowOff>
    </xdr:from>
    <xdr:to>
      <xdr:col>3</xdr:col>
      <xdr:colOff>28575</xdr:colOff>
      <xdr:row>5</xdr:row>
      <xdr:rowOff>161925</xdr:rowOff>
    </xdr:to>
    <xdr:sp macro="" textlink="">
      <xdr:nvSpPr>
        <xdr:cNvPr id="3" name="Down Arrow 2"/>
        <xdr:cNvSpPr/>
      </xdr:nvSpPr>
      <xdr:spPr>
        <a:xfrm>
          <a:off x="1685925" y="895350"/>
          <a:ext cx="171450" cy="219075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485775</xdr:colOff>
      <xdr:row>8</xdr:row>
      <xdr:rowOff>152400</xdr:rowOff>
    </xdr:from>
    <xdr:to>
      <xdr:col>3</xdr:col>
      <xdr:colOff>47625</xdr:colOff>
      <xdr:row>9</xdr:row>
      <xdr:rowOff>180975</xdr:rowOff>
    </xdr:to>
    <xdr:sp macro="" textlink="">
      <xdr:nvSpPr>
        <xdr:cNvPr id="8" name="Down Arrow 7"/>
        <xdr:cNvSpPr/>
      </xdr:nvSpPr>
      <xdr:spPr>
        <a:xfrm>
          <a:off x="1704975" y="1676400"/>
          <a:ext cx="171450" cy="219075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495300</xdr:colOff>
      <xdr:row>11</xdr:row>
      <xdr:rowOff>180975</xdr:rowOff>
    </xdr:from>
    <xdr:to>
      <xdr:col>3</xdr:col>
      <xdr:colOff>57150</xdr:colOff>
      <xdr:row>13</xdr:row>
      <xdr:rowOff>19050</xdr:rowOff>
    </xdr:to>
    <xdr:sp macro="" textlink="">
      <xdr:nvSpPr>
        <xdr:cNvPr id="9" name="Down Arrow 8"/>
        <xdr:cNvSpPr/>
      </xdr:nvSpPr>
      <xdr:spPr>
        <a:xfrm>
          <a:off x="1714500" y="2276475"/>
          <a:ext cx="171450" cy="219075"/>
        </a:xfrm>
        <a:prstGeom prst="downArrow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R19" sqref="R19"/>
    </sheetView>
  </sheetViews>
  <sheetFormatPr defaultRowHeight="15" x14ac:dyDescent="0.25"/>
  <cols>
    <col min="1" max="16384" width="9.140625" style="5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putTestCriteria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art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message">
                <anchor moveWithCells="1" sizeWithCells="1">
                  <from>
                    <xdr:col>0</xdr:col>
                    <xdr:colOff>590550</xdr:colOff>
                    <xdr:row>10</xdr:row>
                    <xdr:rowOff>0</xdr:rowOff>
                  </from>
                  <to>
                    <xdr:col>4</xdr:col>
                    <xdr:colOff>590550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ose_chart">
                <anchor moveWithCells="1" sizeWithCells="1">
                  <from>
                    <xdr:col>1</xdr:col>
                    <xdr:colOff>0</xdr:colOff>
                    <xdr:row>13</xdr:row>
                    <xdr:rowOff>28575</xdr:rowOff>
                  </from>
                  <to>
                    <xdr:col>5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6"/>
  <sheetViews>
    <sheetView workbookViewId="0">
      <selection activeCell="M22" sqref="M22"/>
    </sheetView>
  </sheetViews>
  <sheetFormatPr defaultRowHeight="15" x14ac:dyDescent="0.25"/>
  <cols>
    <col min="2" max="2" width="10.140625" customWidth="1"/>
    <col min="11" max="11" width="28.5703125" bestFit="1" customWidth="1"/>
    <col min="13" max="13" width="34.140625" bestFit="1" customWidth="1"/>
  </cols>
  <sheetData>
    <row r="1" spans="1:14" x14ac:dyDescent="0.25">
      <c r="A1" t="s">
        <v>24</v>
      </c>
      <c r="B1" t="s">
        <v>16</v>
      </c>
      <c r="C1" t="s">
        <v>20</v>
      </c>
      <c r="M1" t="s">
        <v>1</v>
      </c>
      <c r="N1">
        <v>1</v>
      </c>
    </row>
    <row r="2" spans="1:14" x14ac:dyDescent="0.25">
      <c r="A2" t="s">
        <v>20</v>
      </c>
      <c r="B2" t="s">
        <v>17</v>
      </c>
      <c r="C2" t="s">
        <v>18</v>
      </c>
      <c r="G2" t="str">
        <f>A1</f>
        <v>Price</v>
      </c>
      <c r="H2" t="s">
        <v>0</v>
      </c>
      <c r="I2" t="str">
        <f>A2</f>
        <v>RAM</v>
      </c>
      <c r="J2">
        <v>1</v>
      </c>
      <c r="K2" s="3" t="s">
        <v>3</v>
      </c>
      <c r="L2">
        <f>IF(K2=M1,N1,IF(K2=M2,N2,IF(K2=M3,N3,IF(K2=M4,N4,IF(K2=M5,N5,IF(K2=M6,N6,IF(K2=M7,N7,IF(K2=M8,N8,N9))))))))</f>
        <v>3</v>
      </c>
      <c r="M2" t="s">
        <v>2</v>
      </c>
      <c r="N2">
        <v>2</v>
      </c>
    </row>
    <row r="3" spans="1:14" x14ac:dyDescent="0.25">
      <c r="A3" t="s">
        <v>18</v>
      </c>
      <c r="G3" t="str">
        <f>A1</f>
        <v>Price</v>
      </c>
      <c r="H3" t="s">
        <v>0</v>
      </c>
      <c r="I3" t="str">
        <f>A3</f>
        <v>Camera</v>
      </c>
      <c r="J3">
        <v>1</v>
      </c>
      <c r="K3" t="s">
        <v>1</v>
      </c>
      <c r="L3">
        <f>IF(K3=M1,N1,IF(K3=M2,N2,IF(K3=M3,N3,IF(K3=M4,N4,IF(K3=M5,N5,IF(K3=M6,N6,IF(K3=M7,N7,IF(K3=M8,N8,N9))))))))</f>
        <v>1</v>
      </c>
      <c r="M3" t="s">
        <v>3</v>
      </c>
      <c r="N3">
        <v>3</v>
      </c>
    </row>
    <row r="4" spans="1:14" x14ac:dyDescent="0.25">
      <c r="G4" t="str">
        <f>A2</f>
        <v>RAM</v>
      </c>
      <c r="H4" t="s">
        <v>0</v>
      </c>
      <c r="I4" t="str">
        <f>A3</f>
        <v>Camera</v>
      </c>
      <c r="J4">
        <v>1</v>
      </c>
      <c r="K4" t="s">
        <v>5</v>
      </c>
      <c r="L4">
        <f>IF(K4=M1,N1,IF(K4=M2,N2,IF(K4=M3,N3,IF(K4=M4,N4,IF(K4=M5,N5,IF(K4=M6,N6,IF(K4=M7,N7,IF(K4=M8,N8,N9))))))))</f>
        <v>5</v>
      </c>
      <c r="M4" t="s">
        <v>4</v>
      </c>
      <c r="N4">
        <v>4</v>
      </c>
    </row>
    <row r="5" spans="1:14" x14ac:dyDescent="0.25">
      <c r="B5" s="1"/>
      <c r="C5" s="1" t="str">
        <f>A1</f>
        <v>Price</v>
      </c>
      <c r="D5" s="1" t="str">
        <f>A2</f>
        <v>RAM</v>
      </c>
      <c r="E5" s="1" t="str">
        <f>A3</f>
        <v>Camera</v>
      </c>
      <c r="M5" t="s">
        <v>5</v>
      </c>
      <c r="N5">
        <v>5</v>
      </c>
    </row>
    <row r="6" spans="1:14" x14ac:dyDescent="0.25">
      <c r="B6" s="1" t="str">
        <f>A1</f>
        <v>Price</v>
      </c>
      <c r="C6" s="2">
        <v>1</v>
      </c>
      <c r="D6" s="2">
        <f>IF(J2=1,L2,1/L2)</f>
        <v>3</v>
      </c>
      <c r="E6" s="2">
        <f>IF(J3=1,L3,1/L3)</f>
        <v>1</v>
      </c>
      <c r="M6" t="s">
        <v>6</v>
      </c>
      <c r="N6">
        <v>6</v>
      </c>
    </row>
    <row r="7" spans="1:14" x14ac:dyDescent="0.25">
      <c r="B7" s="1" t="str">
        <f>A2</f>
        <v>RAM</v>
      </c>
      <c r="C7" s="2">
        <f>1/D6</f>
        <v>0.33333333333333331</v>
      </c>
      <c r="D7" s="2">
        <v>1</v>
      </c>
      <c r="E7" s="2">
        <f>IF(J4=1,L4,1/L4)</f>
        <v>5</v>
      </c>
      <c r="M7" t="s">
        <v>7</v>
      </c>
      <c r="N7">
        <v>7</v>
      </c>
    </row>
    <row r="8" spans="1:14" x14ac:dyDescent="0.25">
      <c r="B8" s="1" t="str">
        <f>A3</f>
        <v>Camera</v>
      </c>
      <c r="C8" s="2">
        <f>1/E6</f>
        <v>1</v>
      </c>
      <c r="D8" s="2">
        <f>1/E7</f>
        <v>0.2</v>
      </c>
      <c r="E8" s="2">
        <v>1</v>
      </c>
      <c r="M8" t="s">
        <v>8</v>
      </c>
      <c r="N8">
        <v>8</v>
      </c>
    </row>
    <row r="9" spans="1:14" x14ac:dyDescent="0.25">
      <c r="B9" t="s">
        <v>10</v>
      </c>
      <c r="C9" s="4">
        <f>SUM(C6:C8)</f>
        <v>2.333333333333333</v>
      </c>
      <c r="D9" s="4">
        <f t="shared" ref="D9:E9" si="0">SUM(D6:D8)</f>
        <v>4.2</v>
      </c>
      <c r="E9" s="4">
        <f t="shared" si="0"/>
        <v>7</v>
      </c>
      <c r="M9" t="s">
        <v>9</v>
      </c>
      <c r="N9">
        <v>9</v>
      </c>
    </row>
    <row r="11" spans="1:14" x14ac:dyDescent="0.25">
      <c r="B11" s="1"/>
      <c r="C11" s="1" t="str">
        <f>C5</f>
        <v>Price</v>
      </c>
      <c r="D11" s="1" t="str">
        <f>D5</f>
        <v>RAM</v>
      </c>
      <c r="E11" s="1" t="str">
        <f>E5</f>
        <v>Camera</v>
      </c>
      <c r="G11" t="s">
        <v>11</v>
      </c>
    </row>
    <row r="12" spans="1:14" x14ac:dyDescent="0.25">
      <c r="B12" s="1" t="str">
        <f>B6</f>
        <v>Price</v>
      </c>
      <c r="C12" s="2">
        <f>C6/$C$9</f>
        <v>0.4285714285714286</v>
      </c>
      <c r="D12" s="2">
        <f>D6/$D$9</f>
        <v>0.7142857142857143</v>
      </c>
      <c r="E12" s="2">
        <f>E6/$E$9</f>
        <v>0.14285714285714285</v>
      </c>
      <c r="F12" s="1" t="str">
        <f>B12</f>
        <v>Price</v>
      </c>
      <c r="G12" s="2">
        <f>AVERAGE(C12:E12)</f>
        <v>0.42857142857142855</v>
      </c>
    </row>
    <row r="13" spans="1:14" x14ac:dyDescent="0.25">
      <c r="B13" s="1" t="str">
        <f>B7</f>
        <v>RAM</v>
      </c>
      <c r="C13" s="2">
        <f t="shared" ref="C13:C14" si="1">C7/$C$9</f>
        <v>0.14285714285714288</v>
      </c>
      <c r="D13" s="2">
        <f t="shared" ref="D13:D14" si="2">D7/$D$9</f>
        <v>0.23809523809523808</v>
      </c>
      <c r="E13" s="2">
        <f t="shared" ref="E13:E14" si="3">E7/$E$9</f>
        <v>0.7142857142857143</v>
      </c>
      <c r="F13" s="1" t="str">
        <f t="shared" ref="F13:F14" si="4">B13</f>
        <v>RAM</v>
      </c>
      <c r="G13" s="2">
        <f t="shared" ref="G13:G14" si="5">AVERAGE(C13:E13)</f>
        <v>0.36507936507936511</v>
      </c>
      <c r="K13" s="1"/>
      <c r="L13" s="1" t="str">
        <f>A1</f>
        <v>Price</v>
      </c>
      <c r="M13" s="1" t="str">
        <f>A2</f>
        <v>RAM</v>
      </c>
      <c r="N13" s="1" t="str">
        <f>A3</f>
        <v>Camera</v>
      </c>
    </row>
    <row r="14" spans="1:14" x14ac:dyDescent="0.25">
      <c r="B14" s="1" t="str">
        <f>B8</f>
        <v>Camera</v>
      </c>
      <c r="C14" s="2">
        <f t="shared" si="1"/>
        <v>0.4285714285714286</v>
      </c>
      <c r="D14" s="2">
        <f t="shared" si="2"/>
        <v>4.7619047619047616E-2</v>
      </c>
      <c r="E14" s="2">
        <f t="shared" si="3"/>
        <v>0.14285714285714285</v>
      </c>
      <c r="F14" s="1" t="str">
        <f t="shared" si="4"/>
        <v>Camera</v>
      </c>
      <c r="G14" s="2">
        <f t="shared" si="5"/>
        <v>0.20634920634920637</v>
      </c>
      <c r="K14" s="1" t="s">
        <v>21</v>
      </c>
      <c r="L14" s="1">
        <v>100</v>
      </c>
      <c r="M14" s="1">
        <v>10</v>
      </c>
      <c r="N14" s="1">
        <v>32</v>
      </c>
    </row>
    <row r="15" spans="1:14" x14ac:dyDescent="0.25">
      <c r="K15" s="1" t="s">
        <v>22</v>
      </c>
      <c r="L15" s="1">
        <v>200</v>
      </c>
      <c r="M15" s="1">
        <v>16</v>
      </c>
      <c r="N15" s="1">
        <v>16</v>
      </c>
    </row>
    <row r="16" spans="1:14" x14ac:dyDescent="0.25">
      <c r="G16" s="4">
        <f>SUM(G12:G14)</f>
        <v>1</v>
      </c>
      <c r="K16" s="1" t="s">
        <v>23</v>
      </c>
      <c r="L16" s="1">
        <v>300</v>
      </c>
      <c r="M16" s="1">
        <v>20</v>
      </c>
      <c r="N16" s="1">
        <v>32</v>
      </c>
    </row>
    <row r="18" spans="2:7" x14ac:dyDescent="0.25">
      <c r="B18" s="1"/>
      <c r="C18" s="1" t="str">
        <f>C11</f>
        <v>Price</v>
      </c>
      <c r="D18" s="1" t="str">
        <f>D11</f>
        <v>RAM</v>
      </c>
      <c r="E18" s="1" t="str">
        <f>E11</f>
        <v>Camera</v>
      </c>
    </row>
    <row r="19" spans="2:7" x14ac:dyDescent="0.25">
      <c r="B19" s="1" t="str">
        <f>B12</f>
        <v>Price</v>
      </c>
      <c r="C19" s="2">
        <f>C6*$G$12</f>
        <v>0.42857142857142855</v>
      </c>
      <c r="D19" s="2">
        <f>D6*$G$13</f>
        <v>1.0952380952380953</v>
      </c>
      <c r="E19" s="2">
        <f>E6*$G$14</f>
        <v>0.20634920634920637</v>
      </c>
      <c r="F19">
        <f>SUM(C19:E19)</f>
        <v>1.7301587301587302</v>
      </c>
      <c r="G19">
        <f>F19/G12</f>
        <v>4.0370370370370372</v>
      </c>
    </row>
    <row r="20" spans="2:7" x14ac:dyDescent="0.25">
      <c r="B20" s="1" t="str">
        <f t="shared" ref="B20:B21" si="6">B13</f>
        <v>RAM</v>
      </c>
      <c r="C20" s="2">
        <f t="shared" ref="C20:C21" si="7">C7*$G$12</f>
        <v>0.14285714285714285</v>
      </c>
      <c r="D20" s="2">
        <f t="shared" ref="D20:D21" si="8">D7*$G$13</f>
        <v>0.36507936507936511</v>
      </c>
      <c r="E20" s="2">
        <f t="shared" ref="E20:E21" si="9">E7*$G$14</f>
        <v>1.0317460317460319</v>
      </c>
      <c r="F20">
        <f>SUM(C20:E20)</f>
        <v>1.5396825396825398</v>
      </c>
      <c r="G20">
        <f>F20/G13</f>
        <v>4.2173913043478262</v>
      </c>
    </row>
    <row r="21" spans="2:7" x14ac:dyDescent="0.25">
      <c r="B21" s="1" t="str">
        <f t="shared" si="6"/>
        <v>Camera</v>
      </c>
      <c r="C21" s="2">
        <f t="shared" si="7"/>
        <v>0.42857142857142855</v>
      </c>
      <c r="D21" s="2">
        <f t="shared" si="8"/>
        <v>7.301587301587302E-2</v>
      </c>
      <c r="E21" s="2">
        <f t="shared" si="9"/>
        <v>0.20634920634920637</v>
      </c>
      <c r="F21">
        <f t="shared" ref="F21" si="10">SUM(C21:E21)</f>
        <v>0.70793650793650797</v>
      </c>
      <c r="G21">
        <f>F21/G14</f>
        <v>3.4307692307692306</v>
      </c>
    </row>
    <row r="23" spans="2:7" x14ac:dyDescent="0.25">
      <c r="F23" t="s">
        <v>12</v>
      </c>
      <c r="G23">
        <f>AVERAGE(G19:G21)</f>
        <v>3.8950658573846977</v>
      </c>
    </row>
    <row r="24" spans="2:7" x14ac:dyDescent="0.25">
      <c r="F24" t="s">
        <v>13</v>
      </c>
      <c r="G24">
        <f>(G23-3)/2</f>
        <v>0.44753292869234884</v>
      </c>
    </row>
    <row r="25" spans="2:7" x14ac:dyDescent="0.25">
      <c r="F25" t="s">
        <v>14</v>
      </c>
      <c r="G25">
        <v>0.57999999999999996</v>
      </c>
    </row>
    <row r="26" spans="2:7" x14ac:dyDescent="0.25">
      <c r="F26" t="s">
        <v>15</v>
      </c>
      <c r="G26" s="6">
        <f>G24/G25</f>
        <v>0.77160849774542906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"/>
  <sheetViews>
    <sheetView workbookViewId="0">
      <selection activeCell="K15" sqref="K15"/>
    </sheetView>
  </sheetViews>
  <sheetFormatPr defaultRowHeight="15" x14ac:dyDescent="0.25"/>
  <cols>
    <col min="2" max="2" width="10.140625" customWidth="1"/>
    <col min="11" max="11" width="28.5703125" bestFit="1" customWidth="1"/>
    <col min="13" max="13" width="34.140625" bestFit="1" customWidth="1"/>
  </cols>
  <sheetData>
    <row r="1" spans="1:14" x14ac:dyDescent="0.25">
      <c r="A1" t="s">
        <v>19</v>
      </c>
      <c r="B1" t="s">
        <v>16</v>
      </c>
      <c r="C1" t="s">
        <v>18</v>
      </c>
      <c r="M1" t="s">
        <v>1</v>
      </c>
      <c r="N1">
        <v>1</v>
      </c>
    </row>
    <row r="2" spans="1:14" x14ac:dyDescent="0.25">
      <c r="A2" t="s">
        <v>18</v>
      </c>
      <c r="B2" t="s">
        <v>17</v>
      </c>
      <c r="C2" t="s">
        <v>20</v>
      </c>
      <c r="G2" t="str">
        <f>A1</f>
        <v>Cost</v>
      </c>
      <c r="H2" t="s">
        <v>0</v>
      </c>
      <c r="I2" t="str">
        <f>A2</f>
        <v>Camera</v>
      </c>
      <c r="J2">
        <v>1</v>
      </c>
      <c r="K2" s="3" t="s">
        <v>3</v>
      </c>
      <c r="L2">
        <f>IF(K2=M1,N1,IF(K2=M2,N2,IF(K2=M3,N3,IF(K2=M4,N4,IF(K2=M5,N5,IF(K2=M6,N6,IF(K2=M7,N7,IF(K2=M8,N8,N9))))))))</f>
        <v>3</v>
      </c>
      <c r="M2" t="s">
        <v>2</v>
      </c>
      <c r="N2">
        <v>2</v>
      </c>
    </row>
    <row r="3" spans="1:14" x14ac:dyDescent="0.25">
      <c r="A3" t="s">
        <v>20</v>
      </c>
      <c r="G3" t="str">
        <f>A1</f>
        <v>Cost</v>
      </c>
      <c r="H3" t="s">
        <v>0</v>
      </c>
      <c r="I3" t="str">
        <f>A3</f>
        <v>RAM</v>
      </c>
      <c r="J3">
        <v>1</v>
      </c>
      <c r="K3" t="s">
        <v>3</v>
      </c>
      <c r="L3">
        <f>IF(K3=M1,N1,IF(K3=M2,N2,IF(K3=M3,N3,IF(K3=M4,N4,IF(K3=M5,N5,IF(K3=M6,N6,IF(K3=M7,N7,IF(K3=M8,N8,N9))))))))</f>
        <v>3</v>
      </c>
      <c r="M3" t="s">
        <v>3</v>
      </c>
      <c r="N3">
        <v>3</v>
      </c>
    </row>
    <row r="4" spans="1:14" x14ac:dyDescent="0.25">
      <c r="G4" t="str">
        <f>A2</f>
        <v>Camera</v>
      </c>
      <c r="H4" t="s">
        <v>0</v>
      </c>
      <c r="I4" t="str">
        <f>A3</f>
        <v>RAM</v>
      </c>
      <c r="J4">
        <v>0</v>
      </c>
      <c r="K4" t="s">
        <v>2</v>
      </c>
      <c r="L4">
        <f>IF(K4=M1,N1,IF(K4=M2,N2,IF(K4=M3,N3,IF(K4=M4,N4,IF(K4=M5,N5,IF(K4=M6,N6,IF(K4=M7,N7,IF(K4=M8,N8,N9))))))))</f>
        <v>2</v>
      </c>
      <c r="M4" t="s">
        <v>4</v>
      </c>
      <c r="N4">
        <v>4</v>
      </c>
    </row>
    <row r="5" spans="1:14" x14ac:dyDescent="0.25">
      <c r="B5" s="1"/>
      <c r="C5" s="1" t="str">
        <f>A1</f>
        <v>Cost</v>
      </c>
      <c r="D5" s="1" t="str">
        <f>A2</f>
        <v>Camera</v>
      </c>
      <c r="E5" s="1" t="str">
        <f>A3</f>
        <v>RAM</v>
      </c>
      <c r="M5" t="s">
        <v>5</v>
      </c>
      <c r="N5">
        <v>5</v>
      </c>
    </row>
    <row r="6" spans="1:14" x14ac:dyDescent="0.25">
      <c r="B6" s="1" t="str">
        <f>A1</f>
        <v>Cost</v>
      </c>
      <c r="C6" s="2">
        <v>1</v>
      </c>
      <c r="D6" s="2">
        <f>IF(J2=1,L2,1/L2)</f>
        <v>3</v>
      </c>
      <c r="E6" s="2">
        <f>IF(J3=1,L3,1/L3)</f>
        <v>3</v>
      </c>
      <c r="M6" t="s">
        <v>6</v>
      </c>
      <c r="N6">
        <v>6</v>
      </c>
    </row>
    <row r="7" spans="1:14" x14ac:dyDescent="0.25">
      <c r="B7" s="1" t="str">
        <f>A2</f>
        <v>Camera</v>
      </c>
      <c r="C7" s="2">
        <f>1/D6</f>
        <v>0.33333333333333331</v>
      </c>
      <c r="D7" s="2">
        <v>1</v>
      </c>
      <c r="E7" s="2">
        <f>IF(J4=1,L4,1/L4)</f>
        <v>0.5</v>
      </c>
      <c r="M7" t="s">
        <v>7</v>
      </c>
      <c r="N7">
        <v>7</v>
      </c>
    </row>
    <row r="8" spans="1:14" x14ac:dyDescent="0.25">
      <c r="B8" s="1" t="str">
        <f>A3</f>
        <v>RAM</v>
      </c>
      <c r="C8" s="2">
        <f>1/E6</f>
        <v>0.33333333333333331</v>
      </c>
      <c r="D8" s="2">
        <f>1/E7</f>
        <v>2</v>
      </c>
      <c r="E8" s="2">
        <v>1</v>
      </c>
      <c r="M8" t="s">
        <v>8</v>
      </c>
      <c r="N8">
        <v>8</v>
      </c>
    </row>
    <row r="9" spans="1:14" x14ac:dyDescent="0.25">
      <c r="B9" t="s">
        <v>10</v>
      </c>
      <c r="C9" s="4">
        <f>SUM(C6:C8)</f>
        <v>1.6666666666666665</v>
      </c>
      <c r="D9" s="4">
        <f t="shared" ref="D9:E9" si="0">SUM(D6:D8)</f>
        <v>6</v>
      </c>
      <c r="E9" s="4">
        <f t="shared" si="0"/>
        <v>4.5</v>
      </c>
      <c r="M9" t="s">
        <v>9</v>
      </c>
      <c r="N9">
        <v>9</v>
      </c>
    </row>
    <row r="11" spans="1:14" x14ac:dyDescent="0.25">
      <c r="B11" s="1"/>
      <c r="C11" s="1" t="str">
        <f>C5</f>
        <v>Cost</v>
      </c>
      <c r="D11" s="1" t="str">
        <f>D5</f>
        <v>Camera</v>
      </c>
      <c r="E11" s="1" t="str">
        <f>E5</f>
        <v>RAM</v>
      </c>
      <c r="G11" t="s">
        <v>11</v>
      </c>
    </row>
    <row r="12" spans="1:14" x14ac:dyDescent="0.25">
      <c r="B12" s="1" t="str">
        <f>B6</f>
        <v>Cost</v>
      </c>
      <c r="C12" s="2">
        <f>C6/$C$9</f>
        <v>0.60000000000000009</v>
      </c>
      <c r="D12" s="2">
        <f>D6/$D$9</f>
        <v>0.5</v>
      </c>
      <c r="E12" s="2">
        <f>E6/$E$9</f>
        <v>0.66666666666666663</v>
      </c>
      <c r="F12" s="1" t="str">
        <f>B12</f>
        <v>Cost</v>
      </c>
      <c r="G12" s="2">
        <f>AVERAGE(C12:E12)</f>
        <v>0.58888888888888891</v>
      </c>
    </row>
    <row r="13" spans="1:14" x14ac:dyDescent="0.25">
      <c r="B13" s="1" t="str">
        <f>B7</f>
        <v>Camera</v>
      </c>
      <c r="C13" s="2">
        <f t="shared" ref="C13:C14" si="1">C7/$C$9</f>
        <v>0.2</v>
      </c>
      <c r="D13" s="2">
        <f t="shared" ref="D13:D14" si="2">D7/$D$9</f>
        <v>0.16666666666666666</v>
      </c>
      <c r="E13" s="2">
        <f t="shared" ref="E13:E14" si="3">E7/$E$9</f>
        <v>0.1111111111111111</v>
      </c>
      <c r="F13" s="1" t="str">
        <f t="shared" ref="F13:F14" si="4">B13</f>
        <v>Camera</v>
      </c>
      <c r="G13" s="2">
        <f t="shared" ref="G13:G14" si="5">AVERAGE(C13:E13)</f>
        <v>0.15925925925925927</v>
      </c>
    </row>
    <row r="14" spans="1:14" x14ac:dyDescent="0.25">
      <c r="B14" s="1" t="str">
        <f>B8</f>
        <v>RAM</v>
      </c>
      <c r="C14" s="2">
        <f t="shared" si="1"/>
        <v>0.2</v>
      </c>
      <c r="D14" s="2">
        <f t="shared" si="2"/>
        <v>0.33333333333333331</v>
      </c>
      <c r="E14" s="2">
        <f t="shared" si="3"/>
        <v>0.22222222222222221</v>
      </c>
      <c r="F14" s="1" t="str">
        <f t="shared" si="4"/>
        <v>RAM</v>
      </c>
      <c r="G14" s="2">
        <f t="shared" si="5"/>
        <v>0.25185185185185183</v>
      </c>
    </row>
    <row r="16" spans="1:14" x14ac:dyDescent="0.25">
      <c r="G16" s="4">
        <f>SUM(G12:G14)</f>
        <v>1</v>
      </c>
    </row>
    <row r="18" spans="2:7" x14ac:dyDescent="0.25">
      <c r="B18" s="1"/>
      <c r="C18" s="1" t="str">
        <f>C11</f>
        <v>Cost</v>
      </c>
      <c r="D18" s="1" t="str">
        <f>D11</f>
        <v>Camera</v>
      </c>
      <c r="E18" s="1" t="str">
        <f>E11</f>
        <v>RAM</v>
      </c>
    </row>
    <row r="19" spans="2:7" x14ac:dyDescent="0.25">
      <c r="B19" s="1" t="str">
        <f>B12</f>
        <v>Cost</v>
      </c>
      <c r="C19" s="2">
        <f>C6*$G$12</f>
        <v>0.58888888888888891</v>
      </c>
      <c r="D19" s="2">
        <f>D6*$G$13</f>
        <v>0.4777777777777778</v>
      </c>
      <c r="E19" s="2">
        <f>E6*$G$14</f>
        <v>0.75555555555555554</v>
      </c>
      <c r="F19">
        <f>SUM(C19:E19)</f>
        <v>1.8222222222222222</v>
      </c>
      <c r="G19">
        <f>F19/G12</f>
        <v>3.0943396226415092</v>
      </c>
    </row>
    <row r="20" spans="2:7" x14ac:dyDescent="0.25">
      <c r="B20" s="1" t="str">
        <f t="shared" ref="B20:B21" si="6">B13</f>
        <v>Camera</v>
      </c>
      <c r="C20" s="2">
        <f t="shared" ref="C20:C21" si="7">C7*$G$12</f>
        <v>0.1962962962962963</v>
      </c>
      <c r="D20" s="2">
        <f t="shared" ref="D20:D21" si="8">D7*$G$13</f>
        <v>0.15925925925925927</v>
      </c>
      <c r="E20" s="2">
        <f t="shared" ref="E20:E21" si="9">E7*$G$14</f>
        <v>0.12592592592592591</v>
      </c>
      <c r="F20">
        <f>SUM(C20:E20)</f>
        <v>0.48148148148148151</v>
      </c>
      <c r="G20">
        <f>F20/G13</f>
        <v>3.0232558139534884</v>
      </c>
    </row>
    <row r="21" spans="2:7" x14ac:dyDescent="0.25">
      <c r="B21" s="1" t="str">
        <f t="shared" si="6"/>
        <v>RAM</v>
      </c>
      <c r="C21" s="2">
        <f t="shared" si="7"/>
        <v>0.1962962962962963</v>
      </c>
      <c r="D21" s="2">
        <f t="shared" si="8"/>
        <v>0.31851851851851853</v>
      </c>
      <c r="E21" s="2">
        <f t="shared" si="9"/>
        <v>0.25185185185185183</v>
      </c>
      <c r="F21">
        <f t="shared" ref="F21" si="10">SUM(C21:E21)</f>
        <v>0.76666666666666661</v>
      </c>
      <c r="G21">
        <f>F21/G14</f>
        <v>3.0441176470588238</v>
      </c>
    </row>
    <row r="23" spans="2:7" x14ac:dyDescent="0.25">
      <c r="F23" t="s">
        <v>12</v>
      </c>
      <c r="G23">
        <f>AVERAGE(G19:G21)</f>
        <v>3.0539043612179406</v>
      </c>
    </row>
    <row r="24" spans="2:7" x14ac:dyDescent="0.25">
      <c r="F24" t="s">
        <v>13</v>
      </c>
      <c r="G24">
        <f>(G23-3)/2</f>
        <v>2.6952180608970311E-2</v>
      </c>
    </row>
    <row r="25" spans="2:7" x14ac:dyDescent="0.25">
      <c r="F25" t="s">
        <v>14</v>
      </c>
      <c r="G25">
        <v>0.57999999999999996</v>
      </c>
    </row>
    <row r="26" spans="2:7" x14ac:dyDescent="0.25">
      <c r="F26" t="s">
        <v>15</v>
      </c>
      <c r="G26" s="6">
        <f>G24/G25</f>
        <v>4.6469276912017778E-2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2022-10-03T19:56:50Z</dcterms:modified>
</cp:coreProperties>
</file>
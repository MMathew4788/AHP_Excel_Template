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filterPrivacy="1" codeName="ThisWorkbook" defaultThemeVersion="124226"/>
  <xr:revisionPtr revIDLastSave="0" documentId="13_ncr:1_{48EFF766-ECD5-4998-9C7D-4A1A41B9F2E9}" xr6:coauthVersionLast="47" xr6:coauthVersionMax="47" xr10:uidLastSave="{00000000-0000-0000-0000-000000000000}"/>
  <bookViews>
    <workbookView xWindow="-110" yWindow="-110" windowWidth="19420" windowHeight="11500" tabRatio="768" xr2:uid="{00000000-000D-0000-FFFF-FFFF00000000}"/>
  </bookViews>
  <sheets>
    <sheet name="Home" sheetId="1" r:id="rId1"/>
    <sheet name="NumberOfCriteria-3" sheetId="2" state="hidden" r:id="rId2"/>
    <sheet name="NumberOfCriteria-4" sheetId="3" state="hidden" r:id="rId3"/>
    <sheet name="NumberOfCriteria-5" sheetId="4" state="hidden" r:id="rId4"/>
    <sheet name="QUESTIONNAIRE" sheetId="5" state="hidden" r:id="rId5"/>
  </sheets>
  <functionGroups builtInGroupCount="19"/>
  <definedNames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2" i="2"/>
  <c r="M3" i="3"/>
  <c r="M4" i="3"/>
  <c r="M5" i="3"/>
  <c r="M2" i="3"/>
  <c r="M3" i="4"/>
  <c r="M4" i="4"/>
  <c r="M5" i="4"/>
  <c r="M6" i="4"/>
  <c r="M2" i="4"/>
  <c r="K4" i="2"/>
  <c r="K3" i="2"/>
  <c r="K2" i="2"/>
  <c r="K5" i="3"/>
  <c r="K4" i="3"/>
  <c r="K3" i="3"/>
  <c r="K2" i="3"/>
  <c r="K3" i="4"/>
  <c r="K4" i="4"/>
  <c r="K5" i="4"/>
  <c r="K6" i="4"/>
  <c r="K2" i="4"/>
  <c r="G22" i="4"/>
  <c r="D2" i="4" s="1"/>
  <c r="G23" i="4"/>
  <c r="B5" i="4" s="1"/>
  <c r="G24" i="4"/>
  <c r="B6" i="4" s="1"/>
  <c r="G25" i="4"/>
  <c r="D3" i="4" s="1"/>
  <c r="G26" i="4"/>
  <c r="E3" i="4" s="1"/>
  <c r="G27" i="4"/>
  <c r="F3" i="4" s="1"/>
  <c r="G28" i="4"/>
  <c r="D5" i="4" s="1"/>
  <c r="G29" i="4"/>
  <c r="F4" i="4" s="1"/>
  <c r="G30" i="4"/>
  <c r="F5" i="4" s="1"/>
  <c r="G21" i="4"/>
  <c r="C2" i="4" s="1"/>
  <c r="G13" i="2"/>
  <c r="G14" i="2"/>
  <c r="G12" i="2"/>
  <c r="G17" i="3"/>
  <c r="D2" i="3" s="1"/>
  <c r="G18" i="3"/>
  <c r="B5" i="3" s="1"/>
  <c r="G19" i="3"/>
  <c r="C4" i="3" s="1"/>
  <c r="G20" i="3"/>
  <c r="E3" i="3" s="1"/>
  <c r="G21" i="3"/>
  <c r="D5" i="3" s="1"/>
  <c r="G16" i="3"/>
  <c r="C2" i="3" s="1"/>
  <c r="F18" i="4"/>
  <c r="A30" i="4" s="1"/>
  <c r="F17" i="4"/>
  <c r="A29" i="4" s="1"/>
  <c r="F16" i="4"/>
  <c r="A28" i="4" s="1"/>
  <c r="F15" i="4"/>
  <c r="A27" i="4" s="1"/>
  <c r="F14" i="4"/>
  <c r="A26" i="4" s="1"/>
  <c r="F13" i="4"/>
  <c r="A25" i="4" s="1"/>
  <c r="F12" i="4"/>
  <c r="A24" i="4" s="1"/>
  <c r="F11" i="4"/>
  <c r="A23" i="4" s="1"/>
  <c r="F10" i="4"/>
  <c r="A22" i="4" s="1"/>
  <c r="F9" i="4"/>
  <c r="A21" i="4" s="1"/>
  <c r="F13" i="3"/>
  <c r="A21" i="3" s="1"/>
  <c r="F12" i="3"/>
  <c r="A20" i="3" s="1"/>
  <c r="F11" i="3"/>
  <c r="A19" i="3" s="1"/>
  <c r="F10" i="3"/>
  <c r="A18" i="3" s="1"/>
  <c r="F9" i="3"/>
  <c r="A17" i="3" s="1"/>
  <c r="F8" i="3"/>
  <c r="A16" i="3" s="1"/>
  <c r="F9" i="2"/>
  <c r="A14" i="2" s="1"/>
  <c r="F8" i="2"/>
  <c r="A13" i="2" s="1"/>
  <c r="F7" i="2"/>
  <c r="A12" i="2" s="1"/>
  <c r="E4" i="4" l="1"/>
  <c r="F2" i="4"/>
  <c r="E2" i="4"/>
  <c r="C4" i="4"/>
  <c r="B4" i="4"/>
  <c r="E6" i="4"/>
  <c r="D6" i="4"/>
  <c r="B3" i="4"/>
  <c r="C5" i="4"/>
  <c r="C6" i="4"/>
  <c r="E4" i="3"/>
  <c r="B4" i="3"/>
  <c r="E2" i="3"/>
  <c r="C5" i="3"/>
  <c r="B3" i="3"/>
  <c r="D3" i="3"/>
  <c r="C4" i="2"/>
  <c r="D3" i="2"/>
  <c r="B4" i="2"/>
  <c r="D2" i="2"/>
  <c r="C2" i="2"/>
  <c r="B3" i="2"/>
</calcChain>
</file>

<file path=xl/sharedStrings.xml><?xml version="1.0" encoding="utf-8"?>
<sst xmlns="http://schemas.openxmlformats.org/spreadsheetml/2006/main" count="32" uniqueCount="18">
  <si>
    <t>Number of Criteira</t>
  </si>
  <si>
    <t>Equal Importance</t>
  </si>
  <si>
    <t>Equal to Moderate Importance</t>
  </si>
  <si>
    <t>Moderate Importance</t>
  </si>
  <si>
    <t>Strong Importance</t>
  </si>
  <si>
    <t>Very Strong Importance</t>
  </si>
  <si>
    <t>Extreme Importance</t>
  </si>
  <si>
    <t>Moderate to Strong Importance</t>
  </si>
  <si>
    <t>Strong to Very Strong Importance</t>
  </si>
  <si>
    <t>Very Strong  to Extreme Importance</t>
  </si>
  <si>
    <t>Criteria Comparision</t>
  </si>
  <si>
    <t>Pairwise Comparison</t>
  </si>
  <si>
    <t>`</t>
  </si>
  <si>
    <t>Weights</t>
  </si>
  <si>
    <t>Criteria</t>
  </si>
  <si>
    <t>CI</t>
  </si>
  <si>
    <t>CR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</si>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</sst>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1" applyNumberFormat="1" applyFont="1" applyBorder="1"/>
    <xf numFmtId="0" fontId="3" fillId="4" borderId="0" xfId="0" applyFont="1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center"/>
    </xf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4C5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Number of Criteria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7</xdr:row>
          <xdr:rowOff>171450</xdr:rowOff>
        </xdr:from>
        <xdr:to>
          <xdr:col>9</xdr:col>
          <xdr:colOff>584200</xdr:colOff>
          <xdr:row>10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know the weights of criteria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12</xdr:row>
          <xdr:rowOff>88900</xdr:rowOff>
        </xdr:from>
        <xdr:to>
          <xdr:col>9</xdr:col>
          <xdr:colOff>590550</xdr:colOff>
          <xdr:row>14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know the Consistency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577850</xdr:colOff>
          <xdr:row>16</xdr:row>
          <xdr:rowOff>0</xdr:rowOff>
        </xdr:from>
        <xdr:to>
          <xdr:col>9</xdr:col>
          <xdr:colOff>577850</xdr:colOff>
          <xdr:row>18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Close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6350</xdr:rowOff>
        </xdr:from>
        <xdr:to>
          <xdr:col>4</xdr:col>
          <xdr:colOff>615950</xdr:colOff>
          <xdr:row>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Criteria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4</xdr:row>
      <xdr:rowOff>158750</xdr:rowOff>
    </xdr:from>
    <xdr:to>
      <xdr:col>3</xdr:col>
      <xdr:colOff>57150</xdr:colOff>
      <xdr:row>6</xdr:row>
      <xdr:rowOff>76200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1A272D5E-24E7-D7DD-0083-5DF6ACFB5EF7}"/>
            </a:ext>
          </a:extLst>
        </xdr:cNvPr>
        <xdr:cNvSpPr/>
      </xdr:nvSpPr>
      <xdr:spPr>
        <a:xfrm>
          <a:off x="1778000" y="89535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0</xdr:row>
          <xdr:rowOff>158750</xdr:rowOff>
        </xdr:from>
        <xdr:to>
          <xdr:col>3</xdr:col>
          <xdr:colOff>596900</xdr:colOff>
          <xdr:row>2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165100</xdr:rowOff>
        </xdr:from>
        <xdr:to>
          <xdr:col>4</xdr:col>
          <xdr:colOff>622300</xdr:colOff>
          <xdr:row>10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Questionnaire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7</xdr:row>
      <xdr:rowOff>133350</xdr:rowOff>
    </xdr:from>
    <xdr:to>
      <xdr:col>3</xdr:col>
      <xdr:colOff>57150</xdr:colOff>
      <xdr:row>9</xdr:row>
      <xdr:rowOff>50800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F3255356-19CE-4DAA-AD55-05B740F9E8F1}"/>
            </a:ext>
          </a:extLst>
        </xdr:cNvPr>
        <xdr:cNvSpPr/>
      </xdr:nvSpPr>
      <xdr:spPr>
        <a:xfrm>
          <a:off x="1778000" y="142240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11</xdr:row>
          <xdr:rowOff>165100</xdr:rowOff>
        </xdr:from>
        <xdr:to>
          <xdr:col>4</xdr:col>
          <xdr:colOff>565150</xdr:colOff>
          <xdr:row>14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Criteria Importance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10</xdr:row>
      <xdr:rowOff>133350</xdr:rowOff>
    </xdr:from>
    <xdr:to>
      <xdr:col>3</xdr:col>
      <xdr:colOff>57150</xdr:colOff>
      <xdr:row>12</xdr:row>
      <xdr:rowOff>50800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93BF410E-F81D-437C-B83A-6B1FFD0390D1}"/>
            </a:ext>
          </a:extLst>
        </xdr:cNvPr>
        <xdr:cNvSpPr/>
      </xdr:nvSpPr>
      <xdr:spPr>
        <a:xfrm>
          <a:off x="1778000" y="197485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15</xdr:row>
          <xdr:rowOff>6350</xdr:rowOff>
        </xdr:from>
        <xdr:to>
          <xdr:col>4</xdr:col>
          <xdr:colOff>565150</xdr:colOff>
          <xdr:row>17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D35D5F7B-D3A7-4BBE-A814-E8EF44AF8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Pairwise comparison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13</xdr:row>
      <xdr:rowOff>158750</xdr:rowOff>
    </xdr:from>
    <xdr:to>
      <xdr:col>3</xdr:col>
      <xdr:colOff>57150</xdr:colOff>
      <xdr:row>15</xdr:row>
      <xdr:rowOff>76200</xdr:rowOff>
    </xdr:to>
    <xdr:sp macro="" textlink="">
      <xdr:nvSpPr>
        <xdr:cNvPr id="22" name="Arrow: Down 21">
          <a:extLst>
            <a:ext uri="{FF2B5EF4-FFF2-40B4-BE49-F238E27FC236}">
              <a16:creationId xmlns:a16="http://schemas.microsoft.com/office/drawing/2014/main" id="{3DF816DA-F781-4D86-B78F-46778613ED9F}"/>
            </a:ext>
          </a:extLst>
        </xdr:cNvPr>
        <xdr:cNvSpPr/>
      </xdr:nvSpPr>
      <xdr:spPr>
        <a:xfrm>
          <a:off x="1778000" y="255270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18</xdr:row>
          <xdr:rowOff>38100</xdr:rowOff>
        </xdr:from>
        <xdr:to>
          <xdr:col>4</xdr:col>
          <xdr:colOff>584200</xdr:colOff>
          <xdr:row>20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84A39936-99F3-4C97-9D93-4830AC193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AHP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514350</xdr:colOff>
      <xdr:row>17</xdr:row>
      <xdr:rowOff>6350</xdr:rowOff>
    </xdr:from>
    <xdr:to>
      <xdr:col>3</xdr:col>
      <xdr:colOff>76200</xdr:colOff>
      <xdr:row>18</xdr:row>
      <xdr:rowOff>107950</xdr:rowOff>
    </xdr:to>
    <xdr:sp macro="" textlink="">
      <xdr:nvSpPr>
        <xdr:cNvPr id="23" name="Arrow: Down 22">
          <a:extLst>
            <a:ext uri="{FF2B5EF4-FFF2-40B4-BE49-F238E27FC236}">
              <a16:creationId xmlns:a16="http://schemas.microsoft.com/office/drawing/2014/main" id="{A292D264-2B71-4F81-8D41-5A6D4BC2FA63}"/>
            </a:ext>
          </a:extLst>
        </xdr:cNvPr>
        <xdr:cNvSpPr/>
      </xdr:nvSpPr>
      <xdr:spPr>
        <a:xfrm>
          <a:off x="1797050" y="313690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4:J4"/>
  <sheetViews>
    <sheetView tabSelected="1" workbookViewId="0">
      <selection activeCell="L9" sqref="L9"/>
    </sheetView>
  </sheetViews>
  <sheetFormatPr defaultColWidth="9.1796875" defaultRowHeight="14.5" x14ac:dyDescent="0.35"/>
  <cols>
    <col min="1" max="16384" width="9.1796875" style="1"/>
  </cols>
  <sheetData>
    <row r="4" spans="7:10" x14ac:dyDescent="0.35">
      <c r="G4" s="9" t="s">
        <v>0</v>
      </c>
      <c r="H4" s="9"/>
      <c r="I4" s="9"/>
      <c r="J4" s="4"/>
    </row>
  </sheetData>
  <mergeCells count="1">
    <mergeCell ref="G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fine_Number_of_Criteria.Define_Number_of_Criteria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_Chart.Create_Chart">
                <anchor moveWithCells="1" sizeWithCells="1">
                  <from>
                    <xdr:col>5</xdr:col>
                    <xdr:colOff>584200</xdr:colOff>
                    <xdr:row>7</xdr:row>
                    <xdr:rowOff>171450</xdr:rowOff>
                  </from>
                  <to>
                    <xdr:col>9</xdr:col>
                    <xdr:colOff>584200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splay_CI_CR.Display_CI_CR">
                <anchor moveWithCells="1" sizeWithCells="1">
                  <from>
                    <xdr:col>5</xdr:col>
                    <xdr:colOff>590550</xdr:colOff>
                    <xdr:row>12</xdr:row>
                    <xdr:rowOff>88900</xdr:rowOff>
                  </from>
                  <to>
                    <xdr:col>9</xdr:col>
                    <xdr:colOff>590550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ose_chart.close_chart">
                <anchor moveWithCells="1" sizeWithCells="1">
                  <from>
                    <xdr:col>5</xdr:col>
                    <xdr:colOff>577850</xdr:colOff>
                    <xdr:row>16</xdr:row>
                    <xdr:rowOff>0</xdr:rowOff>
                  </from>
                  <to>
                    <xdr:col>9</xdr:col>
                    <xdr:colOff>577850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put_Criteria_Name.Input_Criteria_Name">
                <anchor moveWithCells="1" sizeWithCells="1">
                  <from>
                    <xdr:col>1</xdr:col>
                    <xdr:colOff>25400</xdr:colOff>
                    <xdr:row>6</xdr:row>
                    <xdr:rowOff>6350</xdr:rowOff>
                  </from>
                  <to>
                    <xdr:col>4</xdr:col>
                    <xdr:colOff>615950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.Delete">
                <anchor moveWithCells="1">
                  <from>
                    <xdr:col>1</xdr:col>
                    <xdr:colOff>628650</xdr:colOff>
                    <xdr:row>0</xdr:row>
                    <xdr:rowOff>158750</xdr:rowOff>
                  </from>
                  <to>
                    <xdr:col>3</xdr:col>
                    <xdr:colOff>596900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GenerateQuestionnaire.GenerateQuestionnaire">
                <anchor moveWithCells="1" sizeWithCells="1">
                  <from>
                    <xdr:col>1</xdr:col>
                    <xdr:colOff>19050</xdr:colOff>
                    <xdr:row>8</xdr:row>
                    <xdr:rowOff>165100</xdr:rowOff>
                  </from>
                  <to>
                    <xdr:col>4</xdr:col>
                    <xdr:colOff>622300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teria_Importance.Criteria_Importance">
                <anchor moveWithCells="1" sizeWithCells="1">
                  <from>
                    <xdr:col>1</xdr:col>
                    <xdr:colOff>31750</xdr:colOff>
                    <xdr:row>11</xdr:row>
                    <xdr:rowOff>165100</xdr:rowOff>
                  </from>
                  <to>
                    <xdr:col>4</xdr:col>
                    <xdr:colOff>565150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Pairwise_Comparision.Pairwise_Comparision">
                <anchor moveWithCells="1" sizeWithCells="1">
                  <from>
                    <xdr:col>1</xdr:col>
                    <xdr:colOff>31750</xdr:colOff>
                    <xdr:row>15</xdr:row>
                    <xdr:rowOff>6350</xdr:rowOff>
                  </from>
                  <to>
                    <xdr:col>4</xdr:col>
                    <xdr:colOff>565150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Calculate_AHP.Calculate_AHP">
                <anchor moveWithCells="1" sizeWithCells="1">
                  <from>
                    <xdr:col>1</xdr:col>
                    <xdr:colOff>50800</xdr:colOff>
                    <xdr:row>18</xdr:row>
                    <xdr:rowOff>38100</xdr:rowOff>
                  </from>
                  <to>
                    <xdr:col>4</xdr:col>
                    <xdr:colOff>584200</xdr:colOff>
                    <xdr:row>20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"/>
  <sheetViews>
    <sheetView workbookViewId="0">
      <selection activeCell="L12" sqref="L12"/>
    </sheetView>
  </sheetViews>
  <sheetFormatPr defaultRowHeight="14.5" x14ac:dyDescent="0.35"/>
  <cols>
    <col min="2" max="2" width="10.1796875" customWidth="1"/>
    <col min="11" max="11" width="10.54296875" customWidth="1"/>
    <col min="12" max="12" width="9.81640625" customWidth="1"/>
    <col min="13" max="13" width="17.08984375" customWidth="1"/>
  </cols>
  <sheetData>
    <row r="1" spans="1:15" x14ac:dyDescent="0.35">
      <c r="A1" s="5"/>
      <c r="B1" s="5"/>
      <c r="C1" s="5"/>
      <c r="D1" s="5"/>
      <c r="K1" t="s">
        <v>14</v>
      </c>
      <c r="L1" t="s">
        <v>13</v>
      </c>
      <c r="M1" t="s">
        <v>17</v>
      </c>
      <c r="N1" t="s">
        <v>15</v>
      </c>
    </row>
    <row r="2" spans="1:15" x14ac:dyDescent="0.35">
      <c r="A2" s="5"/>
      <c r="B2" s="6">
        <v>1</v>
      </c>
      <c r="C2" s="6" t="e">
        <f>IF(E7=A2,G12,1/B3)</f>
        <v>#N/A</v>
      </c>
      <c r="D2" s="6" t="e">
        <f>IF(E8=A2,G13,1/B4)</f>
        <v>#N/A</v>
      </c>
      <c r="K2" s="8">
        <f>A2</f>
        <v>0</v>
      </c>
      <c r="L2" s="8"/>
      <c r="M2" s="8" t="e">
        <f>RANK(L2,$L$2:$L$4,0)</f>
        <v>#N/A</v>
      </c>
      <c r="N2" t="s">
        <v>16</v>
      </c>
      <c r="O2" s="10"/>
    </row>
    <row r="3" spans="1:15" x14ac:dyDescent="0.35">
      <c r="A3" s="5"/>
      <c r="B3" s="6" t="e">
        <f>IF(E7=A3,G12,1/C2)</f>
        <v>#N/A</v>
      </c>
      <c r="C3" s="6">
        <v>1</v>
      </c>
      <c r="D3" s="6" t="e">
        <f>IF(E9=A3,G14,1/C4)</f>
        <v>#N/A</v>
      </c>
      <c r="K3" s="8">
        <f t="shared" ref="K3:K5" si="0">A3</f>
        <v>0</v>
      </c>
      <c r="L3" s="8"/>
      <c r="M3" s="8" t="e">
        <f t="shared" ref="M3:M4" si="1">RANK(L3,$L$2:$L$4,0)</f>
        <v>#N/A</v>
      </c>
    </row>
    <row r="4" spans="1:15" x14ac:dyDescent="0.35">
      <c r="A4" s="5"/>
      <c r="B4" s="6" t="e">
        <f>IF(E8=A4,G13,1/D2)</f>
        <v>#N/A</v>
      </c>
      <c r="C4" s="6" t="e">
        <f>IF(E9=A4,G14,1/D3)</f>
        <v>#N/A</v>
      </c>
      <c r="D4" s="6">
        <v>1</v>
      </c>
      <c r="K4" s="8">
        <f t="shared" si="0"/>
        <v>0</v>
      </c>
      <c r="L4" s="8"/>
      <c r="M4" s="8" t="e">
        <f t="shared" si="1"/>
        <v>#N/A</v>
      </c>
    </row>
    <row r="6" spans="1:15" x14ac:dyDescent="0.35">
      <c r="A6" t="s">
        <v>10</v>
      </c>
      <c r="C6" s="2"/>
      <c r="D6" s="2"/>
      <c r="E6" s="2"/>
    </row>
    <row r="7" spans="1:15" x14ac:dyDescent="0.35">
      <c r="A7" s="8"/>
      <c r="B7" s="7"/>
      <c r="C7" s="7"/>
      <c r="D7" s="2"/>
      <c r="E7" s="2"/>
      <c r="F7" s="7">
        <f>IF(E7=A3,A2,A3)</f>
        <v>0</v>
      </c>
    </row>
    <row r="8" spans="1:15" x14ac:dyDescent="0.35">
      <c r="A8" s="8"/>
      <c r="B8" s="7"/>
      <c r="C8" s="7"/>
      <c r="D8" s="2"/>
      <c r="E8" s="2"/>
      <c r="F8" s="7">
        <f>IF(E8=A4,A2,A4)</f>
        <v>0</v>
      </c>
    </row>
    <row r="9" spans="1:15" x14ac:dyDescent="0.35">
      <c r="A9" s="8"/>
      <c r="B9" s="7"/>
      <c r="C9" s="7"/>
      <c r="D9" s="2"/>
      <c r="E9" s="2"/>
      <c r="F9" s="7">
        <f>IF(E9=A4,A3,A4)</f>
        <v>0</v>
      </c>
    </row>
    <row r="11" spans="1:15" x14ac:dyDescent="0.35">
      <c r="A11" s="8" t="s">
        <v>11</v>
      </c>
    </row>
    <row r="12" spans="1:15" x14ac:dyDescent="0.35">
      <c r="A12" s="8" t="str">
        <f>"How important is "&amp;E7&amp;" with respect to "&amp;F7&amp;" ?"</f>
        <v>How important is  with respect to 0 ?</v>
      </c>
      <c r="C12" s="2"/>
      <c r="D12" s="2"/>
      <c r="E12" s="8"/>
      <c r="G12" s="2" t="e">
        <f>_xlfn.XLOOKUP(E12,QUESTIONNAIRE!$A$1:$A$9,QUESTIONNAIRE!$B$1:$B$9)</f>
        <v>#N/A</v>
      </c>
    </row>
    <row r="13" spans="1:15" x14ac:dyDescent="0.35">
      <c r="A13" s="8" t="str">
        <f t="shared" ref="A13:A14" si="2">"How important is "&amp;E8&amp;" with respect to "&amp;F8&amp;" ?"</f>
        <v>How important is  with respect to 0 ?</v>
      </c>
      <c r="C13" s="2"/>
      <c r="D13" s="2"/>
      <c r="E13" s="8"/>
      <c r="G13" s="2" t="e">
        <f>_xlfn.XLOOKUP(E13,QUESTIONNAIRE!$A$1:$A$9,QUESTIONNAIRE!$B$1:$B$9)</f>
        <v>#N/A</v>
      </c>
    </row>
    <row r="14" spans="1:15" x14ac:dyDescent="0.35">
      <c r="A14" s="8" t="str">
        <f t="shared" si="2"/>
        <v>How important is  with respect to 0 ?</v>
      </c>
      <c r="C14" s="2"/>
      <c r="D14" s="2"/>
      <c r="E14" s="8"/>
      <c r="G14" s="2" t="e">
        <f>_xlfn.XLOOKUP(E14,QUESTIONNAIRE!$A$1:$A$9,QUESTIONNAIRE!$B$1:$B$9)</f>
        <v>#N/A</v>
      </c>
    </row>
    <row r="16" spans="1:15" x14ac:dyDescent="0.35">
      <c r="G16" s="2"/>
    </row>
    <row r="19" spans="3:10" x14ac:dyDescent="0.35">
      <c r="C19" s="2"/>
      <c r="D19" s="2"/>
      <c r="E19" s="2"/>
      <c r="J19" t="s">
        <v>12</v>
      </c>
    </row>
    <row r="20" spans="3:10" x14ac:dyDescent="0.35">
      <c r="C20" s="2"/>
      <c r="D20" s="2"/>
      <c r="E20" s="2"/>
    </row>
    <row r="21" spans="3:10" x14ac:dyDescent="0.35">
      <c r="C21" s="2"/>
      <c r="D21" s="2"/>
      <c r="E21" s="2"/>
    </row>
    <row r="26" spans="3:10" x14ac:dyDescent="0.35">
      <c r="G2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6"/>
  <sheetViews>
    <sheetView workbookViewId="0">
      <selection activeCell="L17" sqref="L17"/>
    </sheetView>
  </sheetViews>
  <sheetFormatPr defaultRowHeight="14.5" x14ac:dyDescent="0.35"/>
  <cols>
    <col min="2" max="2" width="10.1796875" customWidth="1"/>
    <col min="11" max="11" width="12" customWidth="1"/>
    <col min="12" max="12" width="12.90625" customWidth="1"/>
    <col min="13" max="13" width="11.08984375" customWidth="1"/>
  </cols>
  <sheetData>
    <row r="1" spans="1:14" x14ac:dyDescent="0.35">
      <c r="A1" s="5"/>
      <c r="B1" s="5"/>
      <c r="C1" s="5"/>
      <c r="D1" s="5"/>
      <c r="E1" s="5"/>
      <c r="K1" s="8" t="s">
        <v>14</v>
      </c>
      <c r="L1" s="8" t="s">
        <v>13</v>
      </c>
      <c r="M1" s="8" t="s">
        <v>17</v>
      </c>
      <c r="N1" t="s">
        <v>15</v>
      </c>
    </row>
    <row r="2" spans="1:14" x14ac:dyDescent="0.35">
      <c r="A2" s="5"/>
      <c r="B2" s="6">
        <v>1</v>
      </c>
      <c r="C2" s="6" t="e">
        <f>IF(E8=A2,G16,1/B3)</f>
        <v>#N/A</v>
      </c>
      <c r="D2" s="6" t="e">
        <f>IF(E9=A2,G17,1/B4)</f>
        <v>#N/A</v>
      </c>
      <c r="E2" s="6" t="e">
        <f>IF(E10=A2,G18,1/B5)</f>
        <v>#N/A</v>
      </c>
      <c r="K2" s="8">
        <f>A2</f>
        <v>0</v>
      </c>
      <c r="L2" s="8"/>
      <c r="M2" s="8" t="e">
        <f>RANK(L2,$L$2:$L$5,0)</f>
        <v>#N/A</v>
      </c>
      <c r="N2" t="s">
        <v>16</v>
      </c>
    </row>
    <row r="3" spans="1:14" x14ac:dyDescent="0.35">
      <c r="A3" s="5"/>
      <c r="B3" s="6" t="e">
        <f>IF(E8=A3,G16,1/C2)</f>
        <v>#N/A</v>
      </c>
      <c r="C3" s="6">
        <v>1</v>
      </c>
      <c r="D3" s="6" t="e">
        <f>IF(E11=A3,G19,1/C4)</f>
        <v>#N/A</v>
      </c>
      <c r="E3" s="6" t="e">
        <f>IF(E12=A3,G20,1/C5)</f>
        <v>#N/A</v>
      </c>
      <c r="K3" s="8">
        <f t="shared" ref="K3:K5" si="0">A3</f>
        <v>0</v>
      </c>
      <c r="L3" s="8"/>
      <c r="M3" s="8" t="e">
        <f t="shared" ref="M3:M5" si="1">RANK(L3,$L$2:$L$5,0)</f>
        <v>#N/A</v>
      </c>
    </row>
    <row r="4" spans="1:14" x14ac:dyDescent="0.35">
      <c r="A4" s="5"/>
      <c r="B4" s="6" t="e">
        <f>IF(E9=A4,G17,1/D2)</f>
        <v>#N/A</v>
      </c>
      <c r="C4" s="6" t="e">
        <f>IF(E11=A4,G19,1/D3)</f>
        <v>#N/A</v>
      </c>
      <c r="D4" s="6">
        <v>1</v>
      </c>
      <c r="E4" s="6" t="e">
        <f>IF(E13=A4,G21,1/D5)</f>
        <v>#N/A</v>
      </c>
      <c r="K4" s="8">
        <f t="shared" si="0"/>
        <v>0</v>
      </c>
      <c r="L4" s="8"/>
      <c r="M4" s="8" t="e">
        <f t="shared" si="1"/>
        <v>#N/A</v>
      </c>
    </row>
    <row r="5" spans="1:14" x14ac:dyDescent="0.35">
      <c r="A5" s="5"/>
      <c r="B5" s="6" t="e">
        <f>IF(E10=A5,G18,1/E2)</f>
        <v>#N/A</v>
      </c>
      <c r="C5" s="6" t="e">
        <f>IF(E12=A5,G20,1/E3)</f>
        <v>#N/A</v>
      </c>
      <c r="D5" s="6" t="e">
        <f>IF(E13=A5,G21,1/E4)</f>
        <v>#N/A</v>
      </c>
      <c r="E5" s="6">
        <v>1</v>
      </c>
      <c r="K5" s="8">
        <f t="shared" si="0"/>
        <v>0</v>
      </c>
      <c r="L5" s="8"/>
      <c r="M5" s="8" t="e">
        <f t="shared" si="1"/>
        <v>#N/A</v>
      </c>
    </row>
    <row r="6" spans="1:14" x14ac:dyDescent="0.35">
      <c r="C6" s="2"/>
      <c r="D6" s="2"/>
      <c r="E6" s="2"/>
    </row>
    <row r="7" spans="1:14" x14ac:dyDescent="0.35">
      <c r="A7" t="s">
        <v>10</v>
      </c>
      <c r="C7" s="2"/>
      <c r="D7" s="2"/>
      <c r="E7" s="2"/>
    </row>
    <row r="8" spans="1:14" x14ac:dyDescent="0.35">
      <c r="A8" s="8"/>
      <c r="B8" s="7"/>
      <c r="C8" s="7"/>
      <c r="D8" s="7"/>
      <c r="E8" s="7"/>
      <c r="F8" s="7">
        <f>IF(E8=A2,A3,A2)</f>
        <v>0</v>
      </c>
    </row>
    <row r="9" spans="1:14" x14ac:dyDescent="0.35">
      <c r="A9" s="8"/>
      <c r="B9" s="7"/>
      <c r="C9" s="7"/>
      <c r="D9" s="7"/>
      <c r="E9" s="7"/>
      <c r="F9" s="7">
        <f>IF(E9=A4,A2,A4)</f>
        <v>0</v>
      </c>
    </row>
    <row r="10" spans="1:14" x14ac:dyDescent="0.35">
      <c r="A10" s="8"/>
      <c r="B10" s="7"/>
      <c r="C10" s="7"/>
      <c r="D10" s="7"/>
      <c r="E10" s="7"/>
      <c r="F10" s="7">
        <f>IF(E10=A5,A2,A5)</f>
        <v>0</v>
      </c>
    </row>
    <row r="11" spans="1:14" x14ac:dyDescent="0.35">
      <c r="A11" s="8"/>
      <c r="B11" s="7"/>
      <c r="C11" s="7"/>
      <c r="D11" s="7"/>
      <c r="E11" s="7"/>
      <c r="F11" s="7">
        <f>IF(E11=A4,A3,A4)</f>
        <v>0</v>
      </c>
    </row>
    <row r="12" spans="1:14" x14ac:dyDescent="0.35">
      <c r="A12" s="8"/>
      <c r="B12" s="7"/>
      <c r="C12" s="7"/>
      <c r="D12" s="7"/>
      <c r="E12" s="7"/>
      <c r="F12" s="7">
        <f>IF(E12=A3,A5,A3)</f>
        <v>0</v>
      </c>
      <c r="G12" s="2"/>
    </row>
    <row r="13" spans="1:14" x14ac:dyDescent="0.35">
      <c r="A13" s="8"/>
      <c r="B13" s="7"/>
      <c r="C13" s="7"/>
      <c r="D13" s="7"/>
      <c r="E13" s="7"/>
      <c r="F13" s="7">
        <f>IF(E13=A5,A4,A5)</f>
        <v>0</v>
      </c>
      <c r="G13" s="2"/>
    </row>
    <row r="14" spans="1:14" x14ac:dyDescent="0.35">
      <c r="C14" s="2"/>
      <c r="D14" s="2"/>
      <c r="E14" s="2"/>
      <c r="G14" s="2"/>
    </row>
    <row r="15" spans="1:14" x14ac:dyDescent="0.35">
      <c r="A15" s="8" t="s">
        <v>11</v>
      </c>
    </row>
    <row r="16" spans="1:14" x14ac:dyDescent="0.35">
      <c r="A16" t="str">
        <f>"How important is "&amp;E8&amp;" with respect to "&amp;F8&amp;" ?"</f>
        <v>How important is  with respect to 0 ?</v>
      </c>
      <c r="E16" s="8"/>
      <c r="G16" s="2" t="e">
        <f>_xlfn.XLOOKUP(E16,QUESTIONNAIRE!$A$1:$A$9,QUESTIONNAIRE!$B$1:$B$9)</f>
        <v>#N/A</v>
      </c>
    </row>
    <row r="17" spans="1:7" x14ac:dyDescent="0.35">
      <c r="A17" t="str">
        <f t="shared" ref="A17:A21" si="2">"How important is "&amp;E9&amp;" with respect to "&amp;F9&amp;" ?"</f>
        <v>How important is  with respect to 0 ?</v>
      </c>
      <c r="E17" s="8"/>
      <c r="G17" s="2" t="e">
        <f>_xlfn.XLOOKUP(E17,QUESTIONNAIRE!$A$1:$A$9,QUESTIONNAIRE!$B$1:$B$9)</f>
        <v>#N/A</v>
      </c>
    </row>
    <row r="18" spans="1:7" x14ac:dyDescent="0.35">
      <c r="A18" t="str">
        <f t="shared" si="2"/>
        <v>How important is  with respect to 0 ?</v>
      </c>
      <c r="E18" s="8"/>
      <c r="G18" s="2" t="e">
        <f>_xlfn.XLOOKUP(E18,QUESTIONNAIRE!$A$1:$A$9,QUESTIONNAIRE!$B$1:$B$9)</f>
        <v>#N/A</v>
      </c>
    </row>
    <row r="19" spans="1:7" x14ac:dyDescent="0.35">
      <c r="A19" t="str">
        <f t="shared" si="2"/>
        <v>How important is  with respect to 0 ?</v>
      </c>
      <c r="C19" s="2"/>
      <c r="D19" s="2"/>
      <c r="E19" s="8"/>
      <c r="G19" s="2" t="e">
        <f>_xlfn.XLOOKUP(E19,QUESTIONNAIRE!$A$1:$A$9,QUESTIONNAIRE!$B$1:$B$9)</f>
        <v>#N/A</v>
      </c>
    </row>
    <row r="20" spans="1:7" x14ac:dyDescent="0.35">
      <c r="A20" t="str">
        <f>"How important is "&amp;E12&amp;" with respect to "&amp;F12&amp;" ?"</f>
        <v>How important is  with respect to 0 ?</v>
      </c>
      <c r="C20" s="2"/>
      <c r="D20" s="2"/>
      <c r="E20" s="8"/>
      <c r="G20" s="2" t="e">
        <f>_xlfn.XLOOKUP(E20,QUESTIONNAIRE!$A$1:$A$9,QUESTIONNAIRE!$B$1:$B$9)</f>
        <v>#N/A</v>
      </c>
    </row>
    <row r="21" spans="1:7" x14ac:dyDescent="0.35">
      <c r="A21" t="str">
        <f t="shared" si="2"/>
        <v>How important is  with respect to 0 ?</v>
      </c>
      <c r="C21" s="2"/>
      <c r="D21" s="2"/>
      <c r="E21" s="8"/>
      <c r="G21" s="2" t="e">
        <f>_xlfn.XLOOKUP(E21,QUESTIONNAIRE!$A$1:$A$9,QUESTIONNAIRE!$B$1:$B$9)</f>
        <v>#N/A</v>
      </c>
    </row>
    <row r="26" spans="1:7" x14ac:dyDescent="0.35">
      <c r="G2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41FBD-2DC4-446A-AD54-0E23475E43AF}">
  <sheetPr codeName="Sheet4"/>
  <dimension ref="A1:N30"/>
  <sheetViews>
    <sheetView workbookViewId="0">
      <selection activeCell="J19" sqref="J19"/>
    </sheetView>
  </sheetViews>
  <sheetFormatPr defaultRowHeight="14.5" x14ac:dyDescent="0.35"/>
  <sheetData>
    <row r="1" spans="1:14" x14ac:dyDescent="0.35">
      <c r="A1" s="5"/>
      <c r="B1" s="5"/>
      <c r="C1" s="5"/>
      <c r="D1" s="5"/>
      <c r="E1" s="5"/>
      <c r="F1" s="5"/>
      <c r="K1" t="s">
        <v>14</v>
      </c>
      <c r="L1" t="s">
        <v>13</v>
      </c>
      <c r="M1" t="s">
        <v>17</v>
      </c>
      <c r="N1" t="s">
        <v>15</v>
      </c>
    </row>
    <row r="2" spans="1:14" x14ac:dyDescent="0.35">
      <c r="A2" s="5"/>
      <c r="B2" s="6">
        <v>1</v>
      </c>
      <c r="C2" s="6" t="e">
        <f>IF(E9=A2,G21,1/B3)</f>
        <v>#N/A</v>
      </c>
      <c r="D2" s="6" t="e">
        <f>IF(E10=A2,G22,1/B4)</f>
        <v>#N/A</v>
      </c>
      <c r="E2" s="6" t="e">
        <f>IF(E11=A2,G23,1/B5)</f>
        <v>#N/A</v>
      </c>
      <c r="F2" s="6" t="e">
        <f>IF(E12=A2,G24,1/B6)</f>
        <v>#N/A</v>
      </c>
      <c r="K2" s="8">
        <f>A2</f>
        <v>0</v>
      </c>
      <c r="L2" s="8"/>
      <c r="M2" s="8" t="e">
        <f>RANK(L2,$L$2:$L$6,0)</f>
        <v>#N/A</v>
      </c>
      <c r="N2" t="s">
        <v>16</v>
      </c>
    </row>
    <row r="3" spans="1:14" x14ac:dyDescent="0.35">
      <c r="A3" s="5"/>
      <c r="B3" s="6" t="e">
        <f>IF(E10=A3,G21,1/C2)</f>
        <v>#N/A</v>
      </c>
      <c r="C3" s="6">
        <v>1</v>
      </c>
      <c r="D3" s="6" t="e">
        <f>IF(E13=A3,G25,1/C4)</f>
        <v>#N/A</v>
      </c>
      <c r="E3" s="6" t="e">
        <f>IF(E14=A3,G26,1/C5)</f>
        <v>#N/A</v>
      </c>
      <c r="F3" s="6" t="e">
        <f>IF(E15=A3,G27,1/C6)</f>
        <v>#N/A</v>
      </c>
      <c r="K3" s="8">
        <f t="shared" ref="K3:K6" si="0">A3</f>
        <v>0</v>
      </c>
      <c r="L3" s="8"/>
      <c r="M3" s="8" t="e">
        <f t="shared" ref="M3:M6" si="1">RANK(L3,$L$2:$L$6,0)</f>
        <v>#N/A</v>
      </c>
    </row>
    <row r="4" spans="1:14" x14ac:dyDescent="0.35">
      <c r="A4" s="5"/>
      <c r="B4" s="6" t="e">
        <f>IF(E10=A4,G22,1/D2)</f>
        <v>#N/A</v>
      </c>
      <c r="C4" s="6" t="e">
        <f>IF(E13=A4,G25,1/D3)</f>
        <v>#N/A</v>
      </c>
      <c r="D4" s="6">
        <v>1</v>
      </c>
      <c r="E4" s="6" t="e">
        <f>IF(E16=A4,G28,1/D5)</f>
        <v>#N/A</v>
      </c>
      <c r="F4" s="6" t="e">
        <f>IF(E17=A4,G29,1/D6)</f>
        <v>#N/A</v>
      </c>
      <c r="K4" s="8">
        <f t="shared" si="0"/>
        <v>0</v>
      </c>
      <c r="L4" s="8"/>
      <c r="M4" s="8" t="e">
        <f t="shared" si="1"/>
        <v>#N/A</v>
      </c>
    </row>
    <row r="5" spans="1:14" x14ac:dyDescent="0.35">
      <c r="A5" s="5"/>
      <c r="B5" s="6" t="e">
        <f>IF(E11=A5,G23,1/E2)</f>
        <v>#N/A</v>
      </c>
      <c r="C5" s="6" t="e">
        <f>IF(E14=A5,G26,1/E3)</f>
        <v>#N/A</v>
      </c>
      <c r="D5" s="6" t="e">
        <f>IF(E16=A5,G28,1/E4)</f>
        <v>#N/A</v>
      </c>
      <c r="E5" s="6">
        <v>1</v>
      </c>
      <c r="F5" s="6" t="e">
        <f>IF(E18=A5,G30,1/E6)</f>
        <v>#N/A</v>
      </c>
      <c r="K5" s="8">
        <f t="shared" si="0"/>
        <v>0</v>
      </c>
      <c r="L5" s="8"/>
      <c r="M5" s="8" t="e">
        <f t="shared" si="1"/>
        <v>#N/A</v>
      </c>
    </row>
    <row r="6" spans="1:14" x14ac:dyDescent="0.35">
      <c r="A6" s="5"/>
      <c r="B6" s="6" t="e">
        <f>IF(E12=A6,G24,1/F2)</f>
        <v>#N/A</v>
      </c>
      <c r="C6" s="6" t="e">
        <f>IF(E15=A6,G27,1/F3)</f>
        <v>#N/A</v>
      </c>
      <c r="D6" s="6" t="e">
        <f>IF(E17=A6,G29,1/F4)</f>
        <v>#N/A</v>
      </c>
      <c r="E6" s="6" t="e">
        <f>IF(E18=A6,G30,1/F5)</f>
        <v>#N/A</v>
      </c>
      <c r="F6" s="6">
        <v>1</v>
      </c>
      <c r="K6" s="8">
        <f t="shared" si="0"/>
        <v>0</v>
      </c>
      <c r="L6" s="8"/>
      <c r="M6" s="8" t="e">
        <f t="shared" si="1"/>
        <v>#N/A</v>
      </c>
    </row>
    <row r="8" spans="1:14" x14ac:dyDescent="0.35">
      <c r="A8" t="s">
        <v>10</v>
      </c>
    </row>
    <row r="9" spans="1:14" x14ac:dyDescent="0.35">
      <c r="A9" s="8"/>
      <c r="B9" s="7"/>
      <c r="C9" s="7"/>
      <c r="E9" s="7"/>
      <c r="F9" s="7">
        <f>IF(E9=A3,A2,A3)</f>
        <v>0</v>
      </c>
    </row>
    <row r="10" spans="1:14" x14ac:dyDescent="0.35">
      <c r="A10" s="8"/>
      <c r="B10" s="7"/>
      <c r="C10" s="7"/>
      <c r="E10" s="7"/>
      <c r="F10" s="7">
        <f>IF(E10=A4,A2,A4)</f>
        <v>0</v>
      </c>
    </row>
    <row r="11" spans="1:14" x14ac:dyDescent="0.35">
      <c r="A11" s="8"/>
      <c r="B11" s="7"/>
      <c r="C11" s="7"/>
      <c r="E11" s="7"/>
      <c r="F11" s="7">
        <f>IF(E11=A5,A2,A5)</f>
        <v>0</v>
      </c>
    </row>
    <row r="12" spans="1:14" x14ac:dyDescent="0.35">
      <c r="A12" s="8"/>
      <c r="B12" s="7"/>
      <c r="C12" s="7"/>
      <c r="E12" s="7"/>
      <c r="F12" s="7">
        <f>IF(E12=A6,A2,A6)</f>
        <v>0</v>
      </c>
    </row>
    <row r="13" spans="1:14" x14ac:dyDescent="0.35">
      <c r="A13" s="8"/>
      <c r="B13" s="7"/>
      <c r="C13" s="7"/>
      <c r="E13" s="7"/>
      <c r="F13" s="2">
        <f>IF(E13=A4,A3,A4)</f>
        <v>0</v>
      </c>
    </row>
    <row r="14" spans="1:14" x14ac:dyDescent="0.35">
      <c r="A14" s="8"/>
      <c r="B14" s="7"/>
      <c r="C14" s="7"/>
      <c r="E14" s="7"/>
      <c r="F14" s="2">
        <f>IF(E14=A5,A3,A5)</f>
        <v>0</v>
      </c>
    </row>
    <row r="15" spans="1:14" x14ac:dyDescent="0.35">
      <c r="A15" s="8"/>
      <c r="B15" s="7"/>
      <c r="C15" s="7"/>
      <c r="E15" s="7"/>
      <c r="F15" s="2">
        <f>IF(E15=A3,A6,A3)</f>
        <v>0</v>
      </c>
    </row>
    <row r="16" spans="1:14" x14ac:dyDescent="0.35">
      <c r="A16" s="8"/>
      <c r="B16" s="7"/>
      <c r="C16" s="7"/>
      <c r="E16" s="7"/>
      <c r="F16" s="2">
        <f>IF(E16=A4,A5,A4)</f>
        <v>0</v>
      </c>
    </row>
    <row r="17" spans="1:7" x14ac:dyDescent="0.35">
      <c r="A17" s="8"/>
      <c r="B17" s="7"/>
      <c r="C17" s="7"/>
      <c r="E17" s="7"/>
      <c r="F17" s="2">
        <f>IF(E17=A4,A6,A4)</f>
        <v>0</v>
      </c>
    </row>
    <row r="18" spans="1:7" x14ac:dyDescent="0.35">
      <c r="A18" s="8"/>
      <c r="B18" s="7"/>
      <c r="C18" s="7"/>
      <c r="E18" s="7"/>
      <c r="F18" s="2">
        <f>IF(E18=A5,A6,A5)</f>
        <v>0</v>
      </c>
    </row>
    <row r="20" spans="1:7" x14ac:dyDescent="0.35">
      <c r="A20" s="8" t="s">
        <v>11</v>
      </c>
    </row>
    <row r="21" spans="1:7" x14ac:dyDescent="0.35">
      <c r="A21" t="str">
        <f>"How important is "&amp;E9&amp;" with respect to "&amp;F9&amp;" ?"</f>
        <v>How important is  with respect to 0 ?</v>
      </c>
      <c r="E21" s="8"/>
      <c r="G21" s="2" t="e">
        <f>_xlfn.XLOOKUP(E21,QUESTIONNAIRE!$A$1:$A$9,QUESTIONNAIRE!$B$1:$B$9)</f>
        <v>#N/A</v>
      </c>
    </row>
    <row r="22" spans="1:7" x14ac:dyDescent="0.35">
      <c r="A22" t="str">
        <f t="shared" ref="A22:A30" si="2">"How important is "&amp;E10&amp;" with respect to "&amp;F10&amp;" ?"</f>
        <v>How important is  with respect to 0 ?</v>
      </c>
      <c r="E22" s="8"/>
      <c r="G22" s="2" t="e">
        <f>_xlfn.XLOOKUP(E22,QUESTIONNAIRE!$A$1:$A$9,QUESTIONNAIRE!$B$1:$B$9)</f>
        <v>#N/A</v>
      </c>
    </row>
    <row r="23" spans="1:7" x14ac:dyDescent="0.35">
      <c r="A23" t="str">
        <f t="shared" si="2"/>
        <v>How important is  with respect to 0 ?</v>
      </c>
      <c r="E23" s="8"/>
      <c r="G23" s="2" t="e">
        <f>_xlfn.XLOOKUP(E23,QUESTIONNAIRE!$A$1:$A$9,QUESTIONNAIRE!$B$1:$B$9)</f>
        <v>#N/A</v>
      </c>
    </row>
    <row r="24" spans="1:7" x14ac:dyDescent="0.35">
      <c r="A24" t="str">
        <f t="shared" si="2"/>
        <v>How important is  with respect to 0 ?</v>
      </c>
      <c r="E24" s="8"/>
      <c r="G24" s="2" t="e">
        <f>_xlfn.XLOOKUP(E24,QUESTIONNAIRE!$A$1:$A$9,QUESTIONNAIRE!$B$1:$B$9)</f>
        <v>#N/A</v>
      </c>
    </row>
    <row r="25" spans="1:7" x14ac:dyDescent="0.35">
      <c r="A25" t="str">
        <f t="shared" si="2"/>
        <v>How important is  with respect to 0 ?</v>
      </c>
      <c r="E25" s="8"/>
      <c r="G25" s="2" t="e">
        <f>_xlfn.XLOOKUP(E25,QUESTIONNAIRE!$A$1:$A$9,QUESTIONNAIRE!$B$1:$B$9)</f>
        <v>#N/A</v>
      </c>
    </row>
    <row r="26" spans="1:7" x14ac:dyDescent="0.35">
      <c r="A26" t="str">
        <f t="shared" si="2"/>
        <v>How important is  with respect to 0 ?</v>
      </c>
      <c r="E26" s="8"/>
      <c r="G26" s="2" t="e">
        <f>_xlfn.XLOOKUP(E26,QUESTIONNAIRE!$A$1:$A$9,QUESTIONNAIRE!$B$1:$B$9)</f>
        <v>#N/A</v>
      </c>
    </row>
    <row r="27" spans="1:7" x14ac:dyDescent="0.35">
      <c r="A27" t="str">
        <f t="shared" si="2"/>
        <v>How important is  with respect to 0 ?</v>
      </c>
      <c r="E27" s="8"/>
      <c r="G27" s="2" t="e">
        <f>_xlfn.XLOOKUP(E27,QUESTIONNAIRE!$A$1:$A$9,QUESTIONNAIRE!$B$1:$B$9)</f>
        <v>#N/A</v>
      </c>
    </row>
    <row r="28" spans="1:7" x14ac:dyDescent="0.35">
      <c r="A28" t="str">
        <f t="shared" si="2"/>
        <v>How important is  with respect to 0 ?</v>
      </c>
      <c r="E28" s="8"/>
      <c r="G28" s="2" t="e">
        <f>_xlfn.XLOOKUP(E28,QUESTIONNAIRE!$A$1:$A$9,QUESTIONNAIRE!$B$1:$B$9)</f>
        <v>#N/A</v>
      </c>
    </row>
    <row r="29" spans="1:7" x14ac:dyDescent="0.35">
      <c r="A29" t="str">
        <f t="shared" si="2"/>
        <v>How important is  with respect to 0 ?</v>
      </c>
      <c r="E29" s="8"/>
      <c r="G29" s="2" t="e">
        <f>_xlfn.XLOOKUP(E29,QUESTIONNAIRE!$A$1:$A$9,QUESTIONNAIRE!$B$1:$B$9)</f>
        <v>#N/A</v>
      </c>
    </row>
    <row r="30" spans="1:7" x14ac:dyDescent="0.35">
      <c r="A30" t="str">
        <f t="shared" si="2"/>
        <v>How important is  with respect to 0 ?</v>
      </c>
      <c r="E30" s="8"/>
      <c r="G30" s="2" t="e">
        <f>_xlfn.XLOOKUP(E30,QUESTIONNAIRE!$A$1:$A$9,QUESTIONNAIRE!$B$1:$B$9)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A0FE-D2C7-4018-AABD-5B20E2FEF87E}">
  <sheetPr codeName="Sheet5"/>
  <dimension ref="A1:B9"/>
  <sheetViews>
    <sheetView workbookViewId="0">
      <selection activeCell="J16" sqref="J16"/>
    </sheetView>
  </sheetViews>
  <sheetFormatPr defaultRowHeight="14.5" x14ac:dyDescent="0.35"/>
  <cols>
    <col min="1" max="1" width="30.90625" bestFit="1" customWidth="1"/>
  </cols>
  <sheetData>
    <row r="1" spans="1:2" x14ac:dyDescent="0.35">
      <c r="A1" t="s">
        <v>1</v>
      </c>
      <c r="B1">
        <v>1</v>
      </c>
    </row>
    <row r="2" spans="1:2" x14ac:dyDescent="0.35">
      <c r="A2" t="s">
        <v>2</v>
      </c>
      <c r="B2">
        <v>2</v>
      </c>
    </row>
    <row r="3" spans="1:2" x14ac:dyDescent="0.35">
      <c r="A3" t="s">
        <v>3</v>
      </c>
      <c r="B3">
        <v>3</v>
      </c>
    </row>
    <row r="4" spans="1:2" x14ac:dyDescent="0.35">
      <c r="A4" t="s">
        <v>7</v>
      </c>
      <c r="B4">
        <v>4</v>
      </c>
    </row>
    <row r="5" spans="1:2" x14ac:dyDescent="0.35">
      <c r="A5" t="s">
        <v>4</v>
      </c>
      <c r="B5">
        <v>5</v>
      </c>
    </row>
    <row r="6" spans="1:2" x14ac:dyDescent="0.35">
      <c r="A6" t="s">
        <v>8</v>
      </c>
      <c r="B6">
        <v>6</v>
      </c>
    </row>
    <row r="7" spans="1:2" x14ac:dyDescent="0.35">
      <c r="A7" t="s">
        <v>5</v>
      </c>
      <c r="B7">
        <v>7</v>
      </c>
    </row>
    <row r="8" spans="1:2" x14ac:dyDescent="0.35">
      <c r="A8" t="s">
        <v>9</v>
      </c>
      <c r="B8">
        <v>8</v>
      </c>
    </row>
    <row r="9" spans="1:2" x14ac:dyDescent="0.35">
      <c r="A9" t="s">
        <v>6</v>
      </c>
      <c r="B9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NumberOfCriteria-3</vt:lpstr>
      <vt:lpstr>NumberOfCriteria-4</vt:lpstr>
      <vt:lpstr>NumberOfCriteria-5</vt:lpstr>
      <vt:lpstr>QUESTIONNAIRE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2025-01-05T11:54:27Z</dcterms:modified>
</cp:coreProperties>
</file>